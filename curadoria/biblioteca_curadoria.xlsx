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ias" sheetId="1" state="visible" r:id="rId3"/>
    <sheet name="Associações" sheetId="2" state="visible" r:id="rId4"/>
    <sheet name="Candidatos penden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<sst xmlns="http://schemas.openxmlformats.org/spreadsheetml/2006/main" count="133" uniqueCount="74">
  <si>
    <t xml:space="preserve">ID</t>
  </si>
  <si>
    <t xml:space="preserve">Descrição</t>
  </si>
  <si>
    <t xml:space="preserve">Família</t>
  </si>
  <si>
    <t xml:space="preserve">Status</t>
  </si>
  <si>
    <t xml:space="preserve">Versão</t>
  </si>
  <si>
    <t xml:space="preserve">Curado por</t>
  </si>
  <si>
    <t xml:space="preserve">Data</t>
  </si>
  <si>
    <t xml:space="preserve">Largura (mm)</t>
  </si>
  <si>
    <t xml:space="preserve">Altura (mm)</t>
  </si>
  <si>
    <t xml:space="preserve">Esp. trilhos (mm)</t>
  </si>
  <si>
    <t xml:space="preserve">Caixa (mm)</t>
  </si>
  <si>
    <t xml:space="preserve">Queda trilhos (mm)</t>
  </si>
  <si>
    <t xml:space="preserve">Nota</t>
  </si>
  <si>
    <t xml:space="preserve">GEO-SU-005</t>
  </si>
  <si>
    <t xml:space="preserve">Travessa Bandeira / Marco / Correr 2 — família Suprema</t>
  </si>
  <si>
    <t xml:space="preserve">SUPREMA</t>
  </si>
  <si>
    <t xml:space="preserve">bruto_aproximado</t>
  </si>
  <si>
    <t xml:space="preserve">1.0</t>
  </si>
  <si>
    <t xml:space="preserve">Bruno</t>
  </si>
  <si>
    <t xml:space="preserve">2026-07-09</t>
  </si>
  <si>
    <t xml:space="preserve">contorno_mm ainda precisa ser traçado com precisão a partir das cotas. Homologação de equivalência (Alcoa=VitralSul) confirmada visualmente; traçado do contorno é etapa seguinte.</t>
  </si>
  <si>
    <t xml:space="preserve">GEO-SU-228</t>
  </si>
  <si>
    <t xml:space="preserve">Suprema — perfil SU-228</t>
  </si>
  <si>
    <t xml:space="preserve">Equivalencia Alcoa=VitralSul confirmada visualmente. Peso identico 0.688 kg/m (delta 0.0%). Contorno preciso pendente.</t>
  </si>
  <si>
    <t xml:space="preserve">GEO-SU-230</t>
  </si>
  <si>
    <t xml:space="preserve">Suprema — perfil SU-230</t>
  </si>
  <si>
    <t xml:space="preserve">Equivalencia Alcoa=VitralSul confirmada visualmente. Peso 0.954 (Alcoa) x 0.936 (VitralSul), delta 1.9% dentro da tolerancia. Contorno preciso pendente.</t>
  </si>
  <si>
    <t xml:space="preserve">GEO-SU-009</t>
  </si>
  <si>
    <t xml:space="preserve">Coluna para maxim-ar — família Suprema</t>
  </si>
  <si>
    <t xml:space="preserve">2026-07-10</t>
  </si>
  <si>
    <t xml:space="preserve">Peso 0.908 kg/m (Alcoa) confirmado. Equivalencia visual confirmada. Contorno preciso pendente.</t>
  </si>
  <si>
    <t xml:space="preserve">Perfil</t>
  </si>
  <si>
    <t xml:space="preserve">Fabricante</t>
  </si>
  <si>
    <t xml:space="preserve">Geometria</t>
  </si>
  <si>
    <t xml:space="preserve">Responsável</t>
  </si>
  <si>
    <t xml:space="preserve">Método de validação</t>
  </si>
  <si>
    <t xml:space="preserve">Confiança</t>
  </si>
  <si>
    <t xml:space="preserve">Observações</t>
  </si>
  <si>
    <t xml:space="preserve">ALCOA-SU-005</t>
  </si>
  <si>
    <t xml:space="preserve">Alcoa</t>
  </si>
  <si>
    <t xml:space="preserve">comparação visual lado a lado + peso e cotas idênticos</t>
  </si>
  <si>
    <t xml:space="preserve">alto</t>
  </si>
  <si>
    <t xml:space="preserve">Função, cotas (69.6/46/35) e peso (1.108 kg/m) idênticos. Código legado Alcoa: P-634/E.</t>
  </si>
  <si>
    <t xml:space="preserve">VITRALSUL-SU-005</t>
  </si>
  <si>
    <t xml:space="preserve">Vitral Sul</t>
  </si>
  <si>
    <t xml:space="preserve">Família comercial local: Nobile 2.5. Mesma geometria da Alcoa Suprema.</t>
  </si>
  <si>
    <t xml:space="preserve">ALCOA-SU-228</t>
  </si>
  <si>
    <t xml:space="preserve">comparação visual lado a lado + peso idêntico</t>
  </si>
  <si>
    <t xml:space="preserve">Peso idêntico: 0.688 kg/m (delta 0.0%). Alcoa índice (texto nativo) × Vitral Sul OCR.</t>
  </si>
  <si>
    <t xml:space="preserve">VITRALSUL-SU-228</t>
  </si>
  <si>
    <t xml:space="preserve">Família comercial local: Nobile 2.5. Peso idêntico ao da Alcoa: 0.688 kg/m.</t>
  </si>
  <si>
    <t xml:space="preserve">ALCOA-SU-230</t>
  </si>
  <si>
    <t xml:space="preserve">comparação visual lado a lado + peso dentro da tolerância</t>
  </si>
  <si>
    <t xml:space="preserve">Peso Alcoa: 0.954 kg/m (índice + OCR concordam). Peso VitralSul OCR: 0.936. Delta 1.9%.</t>
  </si>
  <si>
    <t xml:space="preserve">VITRALSUL-SU-230</t>
  </si>
  <si>
    <t xml:space="preserve">Família comercial local: Nobile 2.5. Delta de peso 1.9% em relação à Alcoa — dentro da tolerância.</t>
  </si>
  <si>
    <t xml:space="preserve">ALCOA-SU-009</t>
  </si>
  <si>
    <t xml:space="preserve">comparação visual no catálogo impresso</t>
  </si>
  <si>
    <t xml:space="preserve">Alcoa: catálogo pág 159, PDF físico pág 172.</t>
  </si>
  <si>
    <t xml:space="preserve">VITRALSUL-SU-009</t>
  </si>
  <si>
    <t xml:space="preserve">VitralSul: catálogo pág 74, PDF físico pág 74. Família local: Nobile 2.5.</t>
  </si>
  <si>
    <t xml:space="preserve">Código</t>
  </si>
  <si>
    <t xml:space="preserve">Peso Alcoa (kg/m)</t>
  </si>
  <si>
    <t xml:space="preserve">Peso Vitral Sul (kg/m)</t>
  </si>
  <si>
    <t xml:space="preserve">Δ peso</t>
  </si>
  <si>
    <t xml:space="preserve">Sinal</t>
  </si>
  <si>
    <t xml:space="preserve">Proveniência dos pesos</t>
  </si>
  <si>
    <t xml:space="preserve">SU-024</t>
  </si>
  <si>
    <t xml:space="preserve">Alcoa: índice do catálogo (texto nativo). Vitral Sul: OCR das páginas raster (confiança menor). Medição: 2026-07-09.</t>
  </si>
  <si>
    <t xml:space="preserve">SU-025</t>
  </si>
  <si>
    <t xml:space="preserve">SU-056</t>
  </si>
  <si>
    <t xml:space="preserve">SU-280</t>
  </si>
  <si>
    <t xml:space="preserve">Tolerância Δ peso:</t>
  </si>
  <si>
    <t xml:space="preserve">Regra de curadoria: peso batendo AUMENTA a confiança; divergência é ALERTA para olhar o desenho — nunca veto automático. Decisão final é visual e humana (Bruno).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</si>
</sst>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n">
        <v>69.6</v>
      </c>
      <c r="I2" s="2" t="n">
        <v>46</v>
      </c>
      <c r="J2" s="2" t="n">
        <v>35</v>
      </c>
      <c r="K2" s="2" t="n">
        <v>13</v>
      </c>
      <c r="L2" s="2" t="n">
        <v>20</v>
      </c>
      <c r="M2" s="2" t="s">
        <v>20</v>
      </c>
    </row>
    <row r="3" customFormat="false" ht="15" hidden="false" customHeight="false" outlineLevel="0" collapsed="false">
      <c r="A3" s="2" t="s">
        <v>21</v>
      </c>
      <c r="B3" s="2" t="s">
        <v>22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/>
      <c r="I3" s="2"/>
      <c r="J3" s="2"/>
      <c r="K3" s="2"/>
      <c r="L3" s="2"/>
      <c r="M3" s="2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/>
      <c r="I4" s="2"/>
      <c r="J4" s="2"/>
      <c r="K4" s="2"/>
      <c r="L4" s="2"/>
      <c r="M4" s="2" t="s">
        <v>26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15</v>
      </c>
      <c r="D5" s="2" t="s">
        <v>16</v>
      </c>
      <c r="E5" s="2" t="s">
        <v>17</v>
      </c>
      <c r="F5" s="2" t="s">
        <v>18</v>
      </c>
      <c r="G5" s="2" t="s">
        <v>29</v>
      </c>
      <c r="H5" s="2"/>
      <c r="I5" s="2"/>
      <c r="J5" s="2"/>
      <c r="K5" s="2"/>
      <c r="L5" s="2"/>
      <c r="M5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 t="s">
        <v>31</v>
      </c>
      <c r="B1" s="1" t="s">
        <v>32</v>
      </c>
      <c r="C1" s="1" t="s">
        <v>33</v>
      </c>
      <c r="D1" s="1" t="s">
        <v>34</v>
      </c>
      <c r="E1" s="1" t="s">
        <v>35</v>
      </c>
      <c r="F1" s="1" t="s">
        <v>6</v>
      </c>
      <c r="G1" s="1" t="s">
        <v>36</v>
      </c>
      <c r="H1" s="1" t="s">
        <v>37</v>
      </c>
    </row>
    <row r="2" customFormat="false" ht="15" hidden="false" customHeight="false" outlineLevel="0" collapsed="false">
      <c r="A2" s="2" t="s">
        <v>38</v>
      </c>
      <c r="B2" s="2" t="s">
        <v>39</v>
      </c>
      <c r="C2" s="2" t="s">
        <v>13</v>
      </c>
      <c r="D2" s="2" t="s">
        <v>18</v>
      </c>
      <c r="E2" s="2" t="s">
        <v>40</v>
      </c>
      <c r="F2" s="2" t="s">
        <v>19</v>
      </c>
      <c r="G2" s="2" t="s">
        <v>41</v>
      </c>
      <c r="H2" s="2" t="s">
        <v>42</v>
      </c>
    </row>
    <row r="3" customFormat="false" ht="15" hidden="false" customHeight="false" outlineLevel="0" collapsed="false">
      <c r="A3" s="2" t="s">
        <v>43</v>
      </c>
      <c r="B3" s="2" t="s">
        <v>44</v>
      </c>
      <c r="C3" s="2" t="s">
        <v>13</v>
      </c>
      <c r="D3" s="2" t="s">
        <v>18</v>
      </c>
      <c r="E3" s="2" t="s">
        <v>40</v>
      </c>
      <c r="F3" s="2" t="s">
        <v>19</v>
      </c>
      <c r="G3" s="2" t="s">
        <v>41</v>
      </c>
      <c r="H3" s="2" t="s">
        <v>45</v>
      </c>
    </row>
    <row r="4" customFormat="false" ht="15" hidden="false" customHeight="false" outlineLevel="0" collapsed="false">
      <c r="A4" s="2" t="s">
        <v>46</v>
      </c>
      <c r="B4" s="2" t="s">
        <v>39</v>
      </c>
      <c r="C4" s="2" t="s">
        <v>21</v>
      </c>
      <c r="D4" s="2" t="s">
        <v>18</v>
      </c>
      <c r="E4" s="2" t="s">
        <v>47</v>
      </c>
      <c r="F4" s="2" t="s">
        <v>19</v>
      </c>
      <c r="G4" s="2" t="s">
        <v>41</v>
      </c>
      <c r="H4" s="2" t="s">
        <v>48</v>
      </c>
    </row>
    <row r="5" customFormat="false" ht="15" hidden="false" customHeight="false" outlineLevel="0" collapsed="false">
      <c r="A5" s="2" t="s">
        <v>49</v>
      </c>
      <c r="B5" s="2" t="s">
        <v>44</v>
      </c>
      <c r="C5" s="2" t="s">
        <v>21</v>
      </c>
      <c r="D5" s="2" t="s">
        <v>18</v>
      </c>
      <c r="E5" s="2" t="s">
        <v>47</v>
      </c>
      <c r="F5" s="2" t="s">
        <v>19</v>
      </c>
      <c r="G5" s="2" t="s">
        <v>41</v>
      </c>
      <c r="H5" s="2" t="s">
        <v>50</v>
      </c>
    </row>
    <row r="6" customFormat="false" ht="15" hidden="false" customHeight="false" outlineLevel="0" collapsed="false">
      <c r="A6" s="2" t="s">
        <v>51</v>
      </c>
      <c r="B6" s="2" t="s">
        <v>39</v>
      </c>
      <c r="C6" s="2" t="s">
        <v>24</v>
      </c>
      <c r="D6" s="2" t="s">
        <v>18</v>
      </c>
      <c r="E6" s="2" t="s">
        <v>52</v>
      </c>
      <c r="F6" s="2" t="s">
        <v>19</v>
      </c>
      <c r="G6" s="2" t="s">
        <v>41</v>
      </c>
      <c r="H6" s="2" t="s">
        <v>53</v>
      </c>
    </row>
    <row r="7" customFormat="false" ht="15" hidden="false" customHeight="false" outlineLevel="0" collapsed="false">
      <c r="A7" s="2" t="s">
        <v>54</v>
      </c>
      <c r="B7" s="2" t="s">
        <v>44</v>
      </c>
      <c r="C7" s="2" t="s">
        <v>24</v>
      </c>
      <c r="D7" s="2" t="s">
        <v>18</v>
      </c>
      <c r="E7" s="2" t="s">
        <v>52</v>
      </c>
      <c r="F7" s="2" t="s">
        <v>19</v>
      </c>
      <c r="G7" s="2" t="s">
        <v>41</v>
      </c>
      <c r="H7" s="2" t="s">
        <v>55</v>
      </c>
    </row>
    <row r="8" customFormat="false" ht="15" hidden="false" customHeight="false" outlineLevel="0" collapsed="false">
      <c r="A8" s="2" t="s">
        <v>56</v>
      </c>
      <c r="B8" s="2" t="s">
        <v>39</v>
      </c>
      <c r="C8" s="2" t="s">
        <v>27</v>
      </c>
      <c r="D8" s="2" t="s">
        <v>18</v>
      </c>
      <c r="E8" s="2" t="s">
        <v>57</v>
      </c>
      <c r="F8" s="2" t="s">
        <v>29</v>
      </c>
      <c r="G8" s="2" t="s">
        <v>41</v>
      </c>
      <c r="H8" s="2" t="s">
        <v>58</v>
      </c>
    </row>
    <row r="9" customFormat="false" ht="15" hidden="false" customHeight="false" outlineLevel="0" collapsed="false">
      <c r="A9" s="2" t="s">
        <v>59</v>
      </c>
      <c r="B9" s="2" t="s">
        <v>44</v>
      </c>
      <c r="C9" s="2" t="s">
        <v>27</v>
      </c>
      <c r="D9" s="2" t="s">
        <v>18</v>
      </c>
      <c r="E9" s="2" t="s">
        <v>57</v>
      </c>
      <c r="F9" s="2" t="s">
        <v>29</v>
      </c>
      <c r="G9" s="2" t="s">
        <v>41</v>
      </c>
      <c r="H9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5"/>
  </cols>
  <sheetData>
    <row r="1" customFormat="false" ht="15" hidden="false" customHeight="false" outlineLevel="0" collapsed="false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  <c r="F1" s="1" t="s">
        <v>66</v>
      </c>
    </row>
    <row r="2" customFormat="false" ht="15" hidden="false" customHeight="false" outlineLevel="0" collapsed="false">
      <c r="A2" s="2" t="s">
        <v>67</v>
      </c>
      <c r="B2" s="3" t="n">
        <v>1.024</v>
      </c>
      <c r="C2" s="3" t="n">
        <v>0.959</v>
      </c>
      <c r="D2" s="4" t="n">
        <f aca="false">ABS(B2-C2)/MAX(B2,C2)</f>
        <v>0.0634765625000001</v>
      </c>
      <c r="E2" s="2" t="str">
        <f aca="false">IF(D2&lt;$B$8,"✓ bate","⚠ olhar desenho")</f>
        <v>⚠ olhar desenho</v>
      </c>
      <c r="F2" s="5" t="s">
        <v>68</v>
      </c>
    </row>
    <row r="3" customFormat="false" ht="15" hidden="false" customHeight="false" outlineLevel="0" collapsed="false">
      <c r="A3" s="2" t="s">
        <v>69</v>
      </c>
      <c r="B3" s="3" t="n">
        <v>0.973</v>
      </c>
      <c r="C3" s="3" t="n">
        <v>0.919</v>
      </c>
      <c r="D3" s="4" t="n">
        <f aca="false">ABS(B3-C3)/MAX(B3,C3)</f>
        <v>0.0554984583761562</v>
      </c>
      <c r="E3" s="2" t="str">
        <f aca="false">IF(D3&lt;$B$8,"✓ bate","⚠ olhar desenho")</f>
        <v>✓ bate</v>
      </c>
      <c r="F3" s="5" t="s">
        <v>68</v>
      </c>
    </row>
    <row r="4" customFormat="false" ht="15" hidden="false" customHeight="false" outlineLevel="0" collapsed="false">
      <c r="A4" s="2" t="s">
        <v>70</v>
      </c>
      <c r="B4" s="3" t="n">
        <v>0.539</v>
      </c>
      <c r="C4" s="3" t="n">
        <v>0.519</v>
      </c>
      <c r="D4" s="4" t="n">
        <f aca="false">ABS(B4-C4)/MAX(B4,C4)</f>
        <v>0.0371057513914657</v>
      </c>
      <c r="E4" s="2" t="str">
        <f aca="false">IF(D4&lt;$B$8,"✓ bate","⚠ olhar desenho")</f>
        <v>✓ bate</v>
      </c>
      <c r="F4" s="5" t="s">
        <v>68</v>
      </c>
    </row>
    <row r="5" customFormat="false" ht="15" hidden="false" customHeight="false" outlineLevel="0" collapsed="false">
      <c r="A5" s="2" t="s">
        <v>71</v>
      </c>
      <c r="B5" s="3" t="n">
        <v>1.006</v>
      </c>
      <c r="C5" s="3" t="n">
        <v>0.969</v>
      </c>
      <c r="D5" s="4" t="n">
        <f aca="false">ABS(B5-C5)/MAX(B5,C5)</f>
        <v>0.036779324055666</v>
      </c>
      <c r="E5" s="2" t="str">
        <f aca="false">IF(D5&lt;$B$8,"✓ bate","⚠ olhar desenho")</f>
        <v>✓ bate</v>
      </c>
      <c r="F5" s="5" t="s">
        <v>68</v>
      </c>
    </row>
    <row r="8" customFormat="false" ht="15" hidden="false" customHeight="false" outlineLevel="0" collapsed="false">
      <c r="A8" s="6" t="s">
        <v>72</v>
      </c>
      <c r="B8" s="7" t="n">
        <v>0.06</v>
      </c>
    </row>
    <row r="10" customFormat="false" ht="15" hidden="false" customHeight="false" outlineLevel="0" collapsed="false">
      <c r="A10" s="8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2026-07-10T21:28:44Z</dcterms:created>
  <dc:creator>openpyxl</dc:creator>
  <dc:description/>
  <dc:language>pt-BR</dc:language>
  <cp:lastModifiedBy/>
  <dcterms:modified xsi:type="dcterms:W3CDTF">2026-07-10T21:28:44Z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